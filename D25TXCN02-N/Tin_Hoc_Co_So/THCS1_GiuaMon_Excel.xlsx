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TIT\D25TXCN02-N\Tin_Hoc_Co_So\"/>
    </mc:Choice>
  </mc:AlternateContent>
  <xr:revisionPtr revIDLastSave="0" documentId="13_ncr:1_{EF22903C-E6C8-4DA5-8AF1-D95CD489E1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 MỤC SẢN PHẨM" sheetId="1" r:id="rId1"/>
    <sheet name="BẢNG BÁN HÀNG" sheetId="2" r:id="rId2"/>
    <sheet name="BÁO CÁO – THỐNG KÊ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3" l="1"/>
  <c r="D5" i="3"/>
  <c r="E4" i="3"/>
  <c r="D4" i="3"/>
  <c r="E3" i="3"/>
  <c r="D3" i="3"/>
  <c r="E6" i="3"/>
  <c r="D6" i="3"/>
  <c r="C5" i="3"/>
  <c r="C4" i="3"/>
  <c r="C6" i="3"/>
  <c r="B6" i="3"/>
  <c r="B5" i="3"/>
  <c r="B4" i="3"/>
  <c r="C3" i="3"/>
  <c r="B3" i="3"/>
  <c r="G3" i="2"/>
  <c r="G4" i="2"/>
  <c r="G5" i="2"/>
  <c r="G6" i="2"/>
  <c r="G2" i="2"/>
  <c r="C4" i="2"/>
  <c r="E3" i="2"/>
  <c r="F3" i="2" s="1"/>
  <c r="E4" i="2"/>
  <c r="F4" i="2" s="1"/>
  <c r="E5" i="2"/>
  <c r="F5" i="2" s="1"/>
  <c r="E6" i="2"/>
  <c r="F6" i="2" s="1"/>
  <c r="E2" i="2"/>
  <c r="F2" i="2" s="1"/>
  <c r="C3" i="2"/>
  <c r="C5" i="2"/>
  <c r="C6" i="2"/>
  <c r="C2" i="2"/>
</calcChain>
</file>

<file path=xl/sharedStrings.xml><?xml version="1.0" encoding="utf-8"?>
<sst xmlns="http://schemas.openxmlformats.org/spreadsheetml/2006/main" count="65" uniqueCount="47">
  <si>
    <t>Mã SP</t>
  </si>
  <si>
    <t>Tên sản phẩm</t>
  </si>
  <si>
    <t>Đơn vị tính</t>
  </si>
  <si>
    <t>Đơn giá (VNĐ)</t>
  </si>
  <si>
    <t>Nhóm hàng</t>
  </si>
  <si>
    <t>SP001</t>
  </si>
  <si>
    <t>Sữa tươi Vinamilk 1L</t>
  </si>
  <si>
    <t>Hộp</t>
  </si>
  <si>
    <t>Đồ uống</t>
  </si>
  <si>
    <t>SP002</t>
  </si>
  <si>
    <t>Bánh Oreo 133g</t>
  </si>
  <si>
    <t>Gói</t>
  </si>
  <si>
    <t>Bánh kẹo</t>
  </si>
  <si>
    <t>SP003</t>
  </si>
  <si>
    <t>Dầu ăn Tường An 1L</t>
  </si>
  <si>
    <t>Chai</t>
  </si>
  <si>
    <t>Gia vị</t>
  </si>
  <si>
    <t>SP004</t>
  </si>
  <si>
    <t>Mì Hảo Hảo tôm chua cay</t>
  </si>
  <si>
    <t>Thùng</t>
  </si>
  <si>
    <t>Thực phẩm</t>
  </si>
  <si>
    <t>SP005</t>
  </si>
  <si>
    <t>Nước suối Lavie 500ml</t>
  </si>
  <si>
    <t>Ngày bán</t>
  </si>
  <si>
    <t>Tên SP</t>
  </si>
  <si>
    <t>Số lượng</t>
  </si>
  <si>
    <t>Đơn giá</t>
  </si>
  <si>
    <t>Thành tiền</t>
  </si>
  <si>
    <t>Ghi chú</t>
  </si>
  <si>
    <t>01/11/2025</t>
  </si>
  <si>
    <t>02/11/2025</t>
  </si>
  <si>
    <t>03/11/2025</t>
  </si>
  <si>
    <t>BÁO CÁO DOANH THU BÁN HÀNG</t>
  </si>
  <si>
    <t>Tổng số lượng</t>
  </si>
  <si>
    <t>Tổng doanh thu</t>
  </si>
  <si>
    <t>Doanh thu cao nhất</t>
  </si>
  <si>
    <t>Ngày bán nhiều nhất</t>
  </si>
  <si>
    <t>SP006</t>
  </si>
  <si>
    <t>Café lạnh</t>
  </si>
  <si>
    <t>Lon</t>
  </si>
  <si>
    <t>SP007</t>
  </si>
  <si>
    <t>Xúc xích</t>
  </si>
  <si>
    <t>Cái</t>
  </si>
  <si>
    <t>SP008</t>
  </si>
  <si>
    <t>Kẹo Socola</t>
  </si>
  <si>
    <t>Thỏi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</si>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</sst>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9BBB59"/>
        <bgColor rgb="FF9BBB59"/>
      </patternFill>
    </fill>
    <fill>
      <patternFill patternType="solid">
        <fgColor rgb="FFF79646"/>
        <bgColor rgb="FFF7964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3" fontId="0" fillId="0" borderId="1" xfId="0" applyNumberFormat="1" applyBorder="1"/>
    <xf numFmtId="0" fontId="2" fillId="5" borderId="0" xfId="0" applyFont="1" applyFill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B3" sqref="B3"/>
    </sheetView>
  </sheetViews>
  <sheetFormatPr defaultRowHeight="14.4" x14ac:dyDescent="0.3"/>
  <cols>
    <col min="2" max="2" width="7" customWidth="1"/>
    <col min="3" max="3" width="25" customWidth="1"/>
    <col min="4" max="4" width="13" customWidth="1"/>
    <col min="5" max="5" width="15" customWidth="1"/>
    <col min="6" max="6" width="11" customWidth="1"/>
  </cols>
  <sheetData>
    <row r="1" spans="1:6" x14ac:dyDescent="0.3">
      <c r="A1" s="2" t="s">
        <v>46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s="3">
        <v>1</v>
      </c>
      <c r="B2" s="4" t="s">
        <v>5</v>
      </c>
      <c r="C2" s="4" t="s">
        <v>6</v>
      </c>
      <c r="D2" s="4" t="s">
        <v>7</v>
      </c>
      <c r="E2" s="6">
        <v>32000</v>
      </c>
      <c r="F2" s="4" t="s">
        <v>8</v>
      </c>
    </row>
    <row r="3" spans="1:6" x14ac:dyDescent="0.3">
      <c r="A3" s="3">
        <v>2</v>
      </c>
      <c r="B3" s="4" t="s">
        <v>9</v>
      </c>
      <c r="C3" s="4" t="s">
        <v>10</v>
      </c>
      <c r="D3" s="4" t="s">
        <v>11</v>
      </c>
      <c r="E3" s="6">
        <v>18000</v>
      </c>
      <c r="F3" s="4" t="s">
        <v>12</v>
      </c>
    </row>
    <row r="4" spans="1:6" x14ac:dyDescent="0.3">
      <c r="A4" s="3">
        <v>3</v>
      </c>
      <c r="B4" s="4" t="s">
        <v>13</v>
      </c>
      <c r="C4" s="4" t="s">
        <v>14</v>
      </c>
      <c r="D4" s="4" t="s">
        <v>15</v>
      </c>
      <c r="E4" s="6">
        <v>52000</v>
      </c>
      <c r="F4" s="4" t="s">
        <v>16</v>
      </c>
    </row>
    <row r="5" spans="1:6" x14ac:dyDescent="0.3">
      <c r="A5" s="3">
        <v>4</v>
      </c>
      <c r="B5" s="4" t="s">
        <v>17</v>
      </c>
      <c r="C5" s="4" t="s">
        <v>18</v>
      </c>
      <c r="D5" s="4" t="s">
        <v>19</v>
      </c>
      <c r="E5" s="6">
        <v>110000</v>
      </c>
      <c r="F5" s="4" t="s">
        <v>20</v>
      </c>
    </row>
    <row r="6" spans="1:6" x14ac:dyDescent="0.3">
      <c r="A6" s="3">
        <v>5</v>
      </c>
      <c r="B6" s="4" t="s">
        <v>21</v>
      </c>
      <c r="C6" s="4" t="s">
        <v>22</v>
      </c>
      <c r="D6" s="4" t="s">
        <v>15</v>
      </c>
      <c r="E6" s="6">
        <v>6000</v>
      </c>
      <c r="F6" s="4" t="s">
        <v>8</v>
      </c>
    </row>
    <row r="7" spans="1:6" x14ac:dyDescent="0.3">
      <c r="A7" s="3">
        <v>6</v>
      </c>
      <c r="B7" s="4" t="s">
        <v>37</v>
      </c>
      <c r="C7" s="4" t="s">
        <v>38</v>
      </c>
      <c r="D7" s="4" t="s">
        <v>39</v>
      </c>
      <c r="E7" s="6">
        <v>15000</v>
      </c>
      <c r="F7" s="4" t="s">
        <v>8</v>
      </c>
    </row>
    <row r="8" spans="1:6" x14ac:dyDescent="0.3">
      <c r="A8" s="3">
        <v>7</v>
      </c>
      <c r="B8" s="4" t="s">
        <v>40</v>
      </c>
      <c r="C8" s="4" t="s">
        <v>41</v>
      </c>
      <c r="D8" s="4" t="s">
        <v>42</v>
      </c>
      <c r="E8" s="6">
        <v>8000</v>
      </c>
      <c r="F8" s="4" t="s">
        <v>20</v>
      </c>
    </row>
    <row r="9" spans="1:6" x14ac:dyDescent="0.3">
      <c r="A9" s="3">
        <v>8</v>
      </c>
      <c r="B9" s="4" t="s">
        <v>43</v>
      </c>
      <c r="C9" s="4" t="s">
        <v>44</v>
      </c>
      <c r="D9" s="4" t="s">
        <v>45</v>
      </c>
      <c r="E9" s="6">
        <v>20000</v>
      </c>
      <c r="F9" s="4" t="s">
        <v>12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C24" sqref="C24"/>
    </sheetView>
  </sheetViews>
  <sheetFormatPr defaultRowHeight="14.4" x14ac:dyDescent="0.3"/>
  <cols>
    <col min="1" max="1" width="12" customWidth="1"/>
    <col min="2" max="2" width="7" customWidth="1"/>
    <col min="3" max="3" width="26.88671875" customWidth="1"/>
    <col min="4" max="4" width="10" customWidth="1"/>
    <col min="5" max="5" width="9" customWidth="1"/>
    <col min="6" max="6" width="12" customWidth="1"/>
    <col min="7" max="7" width="14.44140625" customWidth="1"/>
  </cols>
  <sheetData>
    <row r="1" spans="1:7" x14ac:dyDescent="0.3">
      <c r="A1" s="5" t="s">
        <v>23</v>
      </c>
      <c r="B1" s="5" t="s">
        <v>0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</row>
    <row r="2" spans="1:7" x14ac:dyDescent="0.3">
      <c r="A2" s="4" t="s">
        <v>29</v>
      </c>
      <c r="B2" s="4" t="s">
        <v>5</v>
      </c>
      <c r="C2" s="4" t="str">
        <f>VLOOKUP(B2,'DANH MỤC SẢN PHẨM'!$B$2:$C$9,2,1)</f>
        <v>Sữa tươi Vinamilk 1L</v>
      </c>
      <c r="D2" s="4">
        <v>5</v>
      </c>
      <c r="E2" s="4">
        <f>VLOOKUP(B2,'DANH MỤC SẢN PHẨM'!$B$2:$E$9,4,1)</f>
        <v>32000</v>
      </c>
      <c r="F2" s="4">
        <f>D2*E2</f>
        <v>160000</v>
      </c>
      <c r="G2" s="4" t="str">
        <f>VLOOKUP(B2,'DANH MỤC SẢN PHẨM'!$B$2:$F$9,5,1)</f>
        <v>Đồ uống</v>
      </c>
    </row>
    <row r="3" spans="1:7" x14ac:dyDescent="0.3">
      <c r="A3" s="4" t="s">
        <v>30</v>
      </c>
      <c r="B3" s="4" t="s">
        <v>9</v>
      </c>
      <c r="C3" s="4" t="str">
        <f>VLOOKUP(B3,'DANH MỤC SẢN PHẨM'!$B$2:$C$9,2,1)</f>
        <v>Bánh Oreo 133g</v>
      </c>
      <c r="D3" s="4">
        <v>10</v>
      </c>
      <c r="E3" s="4">
        <f>VLOOKUP(B3,'DANH MỤC SẢN PHẨM'!$B$2:$E$9,4,1)</f>
        <v>18000</v>
      </c>
      <c r="F3" s="4">
        <f>D3*E3</f>
        <v>180000</v>
      </c>
      <c r="G3" s="4" t="str">
        <f>VLOOKUP(B3,'DANH MỤC SẢN PHẨM'!$B$2:$F$9,5,1)</f>
        <v>Bánh kẹo</v>
      </c>
    </row>
    <row r="4" spans="1:7" x14ac:dyDescent="0.3">
      <c r="A4" s="4" t="s">
        <v>30</v>
      </c>
      <c r="B4" s="4" t="s">
        <v>13</v>
      </c>
      <c r="C4" s="4" t="str">
        <f>VLOOKUP(B4,'DANH MỤC SẢN PHẨM'!$B$2:$C$9,2,1)</f>
        <v>Dầu ăn Tường An 1L</v>
      </c>
      <c r="D4" s="4">
        <v>2</v>
      </c>
      <c r="E4" s="4">
        <f>VLOOKUP(B4,'DANH MỤC SẢN PHẨM'!$B$2:$E$9,4,1)</f>
        <v>52000</v>
      </c>
      <c r="F4" s="4">
        <f>D4*E4</f>
        <v>104000</v>
      </c>
      <c r="G4" s="4" t="str">
        <f>VLOOKUP(B4,'DANH MỤC SẢN PHẨM'!$B$2:$F$9,5,1)</f>
        <v>Gia vị</v>
      </c>
    </row>
    <row r="5" spans="1:7" x14ac:dyDescent="0.3">
      <c r="A5" s="4" t="s">
        <v>31</v>
      </c>
      <c r="B5" s="4" t="s">
        <v>5</v>
      </c>
      <c r="C5" s="4" t="str">
        <f>VLOOKUP(B5,'DANH MỤC SẢN PHẨM'!$B$2:$C$9,2,1)</f>
        <v>Sữa tươi Vinamilk 1L</v>
      </c>
      <c r="D5" s="4">
        <v>8</v>
      </c>
      <c r="E5" s="4">
        <f>VLOOKUP(B5,'DANH MỤC SẢN PHẨM'!$B$2:$E$9,4,1)</f>
        <v>32000</v>
      </c>
      <c r="F5" s="4">
        <f>D5*E5</f>
        <v>256000</v>
      </c>
      <c r="G5" s="4" t="str">
        <f>VLOOKUP(B5,'DANH MỤC SẢN PHẨM'!$B$2:$F$9,5,1)</f>
        <v>Đồ uống</v>
      </c>
    </row>
    <row r="6" spans="1:7" x14ac:dyDescent="0.3">
      <c r="A6" s="4" t="s">
        <v>31</v>
      </c>
      <c r="B6" s="4" t="s">
        <v>21</v>
      </c>
      <c r="C6" s="4" t="str">
        <f>VLOOKUP(B6,'DANH MỤC SẢN PHẨM'!$B$2:$C$9,2,1)</f>
        <v>Nước suối Lavie 500ml</v>
      </c>
      <c r="D6" s="4">
        <v>15</v>
      </c>
      <c r="E6" s="4">
        <f>VLOOKUP(B6,'DANH MỤC SẢN PHẨM'!$B$2:$E$9,4,1)</f>
        <v>6000</v>
      </c>
      <c r="F6" s="4">
        <f>D6*E6</f>
        <v>90000</v>
      </c>
      <c r="G6" s="4" t="str">
        <f>VLOOKUP(B6,'DANH MỤC SẢN PHẨM'!$B$2:$F$9,5,1)</f>
        <v>Đồ uống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C12" sqref="C12"/>
    </sheetView>
  </sheetViews>
  <sheetFormatPr defaultRowHeight="14.4" x14ac:dyDescent="0.3"/>
  <cols>
    <col min="1" max="1" width="28" customWidth="1"/>
    <col min="2" max="2" width="15.44140625" customWidth="1"/>
    <col min="3" max="3" width="16" customWidth="1"/>
    <col min="4" max="4" width="20" customWidth="1"/>
    <col min="5" max="5" width="21" customWidth="1"/>
  </cols>
  <sheetData>
    <row r="1" spans="1:5" ht="18" x14ac:dyDescent="0.35">
      <c r="A1" s="7" t="s">
        <v>32</v>
      </c>
      <c r="B1" s="8"/>
      <c r="C1" s="8"/>
      <c r="D1" s="8"/>
      <c r="E1" s="8"/>
    </row>
    <row r="2" spans="1:5" x14ac:dyDescent="0.3">
      <c r="A2" s="1" t="s">
        <v>4</v>
      </c>
      <c r="B2" s="1" t="s">
        <v>33</v>
      </c>
      <c r="C2" s="1" t="s">
        <v>34</v>
      </c>
      <c r="D2" s="1" t="s">
        <v>35</v>
      </c>
      <c r="E2" s="1" t="s">
        <v>36</v>
      </c>
    </row>
    <row r="3" spans="1:5" x14ac:dyDescent="0.3">
      <c r="A3" s="4" t="s">
        <v>8</v>
      </c>
      <c r="B3" s="4">
        <f>SUMIF('BẢNG BÁN HÀNG'!G$2:G$6, "Đồ uống", 'BẢNG BÁN HÀNG'!D$2:D$6)</f>
        <v>28</v>
      </c>
      <c r="C3" s="4">
        <f>SUMIF('BẢNG BÁN HÀNG'!G$2:G$6, "Đồ uống",'BẢNG BÁN HÀNG'!F$2:F$6)</f>
        <v>506000</v>
      </c>
      <c r="D3" s="4">
        <f>_xlfn.MAXIFS('BẢNG BÁN HÀNG'!F$2:F$6, 'BẢNG BÁN HÀNG'!G$2:G$6, "Đồ uống")</f>
        <v>256000</v>
      </c>
      <c r="E3" s="4" t="str">
        <f>IFERROR(
    INDEX('BẢNG BÁN HÀNG'!A$2:A$6, MATCH(
        _xlfn.MAXIFS('BẢNG BÁN HÀNG'!F$2:F$6, 'BẢNG BÁN HÀNG'!G$2:G$6, "Đồ uống"),
        'BẢNG BÁN HÀNG'!F$2:F$6, 0)
    ),
    "Chưa bán")</f>
        <v>03/11/2025</v>
      </c>
    </row>
    <row r="4" spans="1:5" x14ac:dyDescent="0.3">
      <c r="A4" s="4" t="s">
        <v>12</v>
      </c>
      <c r="B4" s="4">
        <f>SUMIF('BẢNG BÁN HÀNG'!G$2:G$6, "Bánh kẹo", 'BẢNG BÁN HÀNG'!D$2:D$6)</f>
        <v>10</v>
      </c>
      <c r="C4" s="4">
        <f>SUMIF('BẢNG BÁN HÀNG'!G$2:G$6, "Bánh kẹo",'BẢNG BÁN HÀNG'!F$2:F$6)</f>
        <v>180000</v>
      </c>
      <c r="D4" s="4">
        <f>_xlfn.MAXIFS('BẢNG BÁN HÀNG'!F$2:F$6, 'BẢNG BÁN HÀNG'!G$2:G$6, "Bánh kẹo")</f>
        <v>180000</v>
      </c>
      <c r="E4" s="4" t="str">
        <f>IFERROR(
    INDEX('BẢNG BÁN HÀNG'!A$2:A$6, MATCH(
        _xlfn.MAXIFS('BẢNG BÁN HÀNG'!F$2:F$6, 'BẢNG BÁN HÀNG'!G$2:G$6, "Bánh kẹo"),
        'BẢNG BÁN HÀNG'!F$2:F$6, 0)
    ),
    "Chưa bán")</f>
        <v>02/11/2025</v>
      </c>
    </row>
    <row r="5" spans="1:5" x14ac:dyDescent="0.3">
      <c r="A5" s="4" t="s">
        <v>16</v>
      </c>
      <c r="B5" s="4">
        <f>SUMIF('BẢNG BÁN HÀNG'!G$2:G$6, "Gia vị", 'BẢNG BÁN HÀNG'!D$2:D$6)</f>
        <v>2</v>
      </c>
      <c r="C5" s="4">
        <f>SUMIF('BẢNG BÁN HÀNG'!G$2:G$6, "Gia vị",'BẢNG BÁN HÀNG'!F$2:F$6)</f>
        <v>104000</v>
      </c>
      <c r="D5" s="4">
        <f>_xlfn.MAXIFS('BẢNG BÁN HÀNG'!F$2:F$6, 'BẢNG BÁN HÀNG'!G$2:G$6, "Gia vị")</f>
        <v>104000</v>
      </c>
      <c r="E5" s="4" t="str">
        <f>IFERROR(
    INDEX('BẢNG BÁN HÀNG'!A$2:A$6, MATCH(
        _xlfn.MAXIFS('BẢNG BÁN HÀNG'!F$2:F$6, 'BẢNG BÁN HÀNG'!G$2:G$6, "Gia vị"),
        'BẢNG BÁN HÀNG'!F$2:F$6, 0)
    ),
    "Chưa bán")</f>
        <v>02/11/2025</v>
      </c>
    </row>
    <row r="6" spans="1:5" x14ac:dyDescent="0.3">
      <c r="A6" s="4" t="s">
        <v>20</v>
      </c>
      <c r="B6" s="4">
        <f>SUMIF('BẢNG BÁN HÀNG'!G$2:G$6, "Thực phẩm", 'BẢNG BÁN HÀNG'!D$2:D$6)</f>
        <v>0</v>
      </c>
      <c r="C6" s="4">
        <f>SUMIF('BẢNG BÁN HÀNG'!G$2:G$6, "Thực phẩm",'BẢNG BÁN HÀNG'!F$2:F$6)</f>
        <v>0</v>
      </c>
      <c r="D6" s="4">
        <f>_xlfn.MAXIFS('BẢNG BÁN HÀNG'!F$2:F$6, 'BẢNG BÁN HÀNG'!G$2:G$6, "Thực phẩm")</f>
        <v>0</v>
      </c>
      <c r="E6" s="4" t="str">
        <f>IFERROR(
    INDEX('BẢNG BÁN HÀNG'!A$2:A$6, MATCH(
        _xlfn.MAXIFS('BẢNG BÁN HÀNG'!F$2:F$6, 'BẢNG BÁN HÀNG'!G$2:G$6, "Thực phẩm"),
        'BẢNG BÁN HÀNG'!F$2:F$6, 0)
    ),
    "Chưa bán")</f>
        <v>Chưa bán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 MỤC SẢN PHẨM</vt:lpstr>
      <vt:lpstr>BẢNG BÁN HÀNG</vt:lpstr>
      <vt:lpstr>BÁO CÁO – THỐNG KÊ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Nghĩa</cp:lastModifiedBy>
  <dcterms:created xsi:type="dcterms:W3CDTF">2025-11-08T01:09:31Z</dcterms:created>
  <dcterms:modified xsi:type="dcterms:W3CDTF">2025-11-22T03:00:35Z</dcterms:modified>
</cp:coreProperties>
</file>